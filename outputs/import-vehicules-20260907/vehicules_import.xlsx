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?><Relationships xmlns="http://schemas.openxmlformats.org/package/2006/relationships"><Relationship Type="http://schemas.openxmlformats.org/officeDocument/2006/relationships/officeDocument" Target="xl/workbook.xml" Id="Rb2c2c1ba80094ade" /></Relationships>
</file>

<file path=xl/workbook.xml><?xml version="1.0" encoding="utf-8"?>
<workbook xmlns="http://schemas.openxmlformats.org/spreadsheetml/2006/main">
  <sheets>
    <sheet xmlns:r="http://schemas.openxmlformats.org/officeDocument/2006/relationships" name="Import véhicules" sheetId="1" r:id="R4ef8eaa2d0bf472c"/>
    <sheet xmlns:r="http://schemas.openxmlformats.org/officeDocument/2006/relationships" name="Guide import" sheetId="2" r:id="Reede247b111e4945"/>
    <sheet xmlns:r="http://schemas.openxmlformats.org/officeDocument/2006/relationships" name="Autonomies estimées" sheetId="3" r:id="R4f1ae9e9042f4b1d"/>
  </sheet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4">
    <numFmt numFmtId="200" formatCode="0"/>
    <numFmt numFmtId="201" formatCode="yyyy-mm-dd"/>
    <numFmt numFmtId="202" formatCode="0.##"/>
    <numFmt numFmtId="203" formatCode="0.00"/>
  </numFmts>
  <fonts count="5">
    <font>
      <sz val="11"/>
      <name val="Carlito"/>
    </font>
    <font>
      <sz val="10"/>
      <name val="Arial"/>
    </font>
    <font>
      <b/>
      <sz val="10"/>
      <color rgb="FFFFFFFF"/>
      <name val="Arial"/>
    </font>
    <font>
      <b/>
      <sz val="14"/>
      <name val="Arial"/>
    </font>
    <font>
      <sz val="11"/>
      <color rgb="FFFFFFFF"/>
      <name val="Carlito"/>
    </font>
  </fonts>
  <fills count="16">
    <fill>
      <patternFill patternType="none"/>
    </fill>
    <fill>
      <patternFill patternType="gray125"/>
    </fill>
    <fill>
      <patternFill patternType="solid">
        <fgColor rgb="FF24445C"/>
      </patternFill>
    </fill>
    <fill>
      <patternFill patternType="solid">
        <fgColor rgb="FFFFF2CC"/>
      </patternFill>
    </fill>
    <fill>
      <patternFill patternType="solid">
        <fgColor rgb="FF24445C"/>
      </patternFill>
    </fill>
    <fill>
      <patternFill patternType="solid">
        <fgColor rgb="FFFFF2CC"/>
      </patternFill>
    </fill>
    <fill>
      <patternFill patternType="solid">
        <fgColor rgb="FF24445C"/>
      </patternFill>
    </fill>
    <fill>
      <patternFill patternType="solid">
        <fgColor rgb="FFFFF2CC"/>
      </patternFill>
    </fill>
    <fill>
      <patternFill patternType="solid">
        <fgColor rgb="FF24445C"/>
      </patternFill>
    </fill>
    <fill>
      <patternFill patternType="solid">
        <fgColor rgb="FFFFF2CC"/>
      </patternFill>
    </fill>
    <fill>
      <patternFill patternType="solid">
        <fgColor rgb="FF24445C"/>
      </patternFill>
    </fill>
    <fill>
      <patternFill patternType="solid">
        <fgColor rgb="FFFFF2CC"/>
      </patternFill>
    </fill>
    <fill>
      <patternFill patternType="solid">
        <fgColor rgb="FF24445C"/>
      </patternFill>
    </fill>
    <fill>
      <patternFill patternType="solid">
        <fgColor rgb="FFFFF2CC"/>
      </patternFill>
    </fill>
    <fill>
      <patternFill patternType="solid">
        <fgColor rgb="FF24445C"/>
      </patternFill>
    </fill>
    <fill>
      <patternFill patternType="solid">
        <fgColor rgb="FFFFF2CC"/>
      </patternFill>
    </fill>
  </fills>
  <borders count="1">
    <border/>
  </borders>
  <cellStyleXfs count="1">
    <xf numFmtId="0" fontId="0" fillId="0" borderId="0"/>
  </cellStyleXfs>
  <cellXfs count="55">
    <xf numFmtId="0" fontId="0" fillId="0" borderId="0" xfId="0"/>
    <xf numFmtId="0" fontId="1" fillId="0" borderId="0" xfId="0" applyNumberFormat="1" applyFont="1" applyFill="1" applyBorder="1"/>
    <xf numFmtId="0" fontId="1" fillId="2" borderId="0" xfId="0" applyNumberFormat="1" applyFont="1" applyFill="1" applyBorder="1"/>
    <xf numFmtId="0" fontId="2" fillId="2" borderId="0" xfId="0" applyNumberFormat="1" applyFont="1" applyFill="1" applyBorder="1"/>
    <xf numFmtId="0" fontId="2" fillId="2" borderId="0" xfId="0" applyNumberFormat="1" applyFont="1" applyFill="1" applyBorder="1" applyAlignment="1">
      <alignment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wrapText="1"/>
    </xf>
    <xf numFmtId="0" fontId="3" fillId="0" borderId="0" xfId="0" applyNumberFormat="1" applyFont="1" applyFill="1" applyBorder="1" applyAlignment="1">
      <alignment wrapText="1"/>
    </xf>
    <xf numFmtId="200" fontId="1" fillId="3" borderId="0" xfId="0" applyNumberFormat="1" applyFont="1" applyFill="1" applyBorder="1"/>
    <xf numFmtId="0" fontId="1" fillId="3" borderId="0" xfId="0" applyNumberFormat="1" applyFont="1" applyFill="1" applyBorder="1"/>
    <xf numFmtId="0" fontId="1" fillId="4" borderId="0" xfId="0" applyNumberFormat="1" applyFont="1" applyFill="1" applyBorder="1"/>
    <xf numFmtId="0" fontId="2" fillId="4" borderId="0" xfId="0" applyNumberFormat="1" applyFont="1" applyFill="1" applyBorder="1"/>
    <xf numFmtId="0" fontId="2" fillId="4" borderId="0" xfId="0" applyNumberFormat="1" applyFont="1" applyFill="1" applyBorder="1" applyAlignment="1">
      <alignment wrapText="1"/>
    </xf>
    <xf numFmtId="200" fontId="1" fillId="5" borderId="0" xfId="0" applyNumberFormat="1" applyFont="1" applyFill="1" applyBorder="1"/>
    <xf numFmtId="0" fontId="1" fillId="5" borderId="0" xfId="0" applyNumberFormat="1" applyFont="1" applyFill="1" applyBorder="1"/>
    <xf numFmtId="0" fontId="1" fillId="6" borderId="0" xfId="0" applyNumberFormat="1" applyFont="1" applyFill="1" applyBorder="1"/>
    <xf numFmtId="0" fontId="2" fillId="6" borderId="0" xfId="0" applyNumberFormat="1" applyFont="1" applyFill="1" applyBorder="1"/>
    <xf numFmtId="0" fontId="2" fillId="6" borderId="0" xfId="0" applyNumberFormat="1" applyFont="1" applyFill="1" applyBorder="1" applyAlignment="1">
      <alignment wrapText="1"/>
    </xf>
    <xf numFmtId="200" fontId="1" fillId="7" borderId="0" xfId="0" applyNumberFormat="1" applyFont="1" applyFill="1" applyBorder="1"/>
    <xf numFmtId="0" fontId="1" fillId="7" borderId="0" xfId="0" applyNumberFormat="1" applyFont="1" applyFill="1" applyBorder="1"/>
    <xf numFmtId="0" fontId="1" fillId="8" borderId="0" xfId="0" applyNumberFormat="1" applyFont="1" applyFill="1" applyBorder="1"/>
    <xf numFmtId="0" fontId="2" fillId="8" borderId="0" xfId="0" applyNumberFormat="1" applyFont="1" applyFill="1" applyBorder="1"/>
    <xf numFmtId="0" fontId="2" fillId="8" borderId="0" xfId="0" applyNumberFormat="1" applyFont="1" applyFill="1" applyBorder="1" applyAlignment="1">
      <alignment wrapText="1"/>
    </xf>
    <xf numFmtId="200" fontId="1" fillId="9" borderId="0" xfId="0" applyNumberFormat="1" applyFont="1" applyFill="1" applyBorder="1"/>
    <xf numFmtId="0" fontId="1" fillId="9" borderId="0" xfId="0" applyNumberFormat="1" applyFont="1" applyFill="1" applyBorder="1"/>
    <xf numFmtId="0" fontId="1" fillId="10" borderId="0" xfId="0" applyNumberFormat="1" applyFont="1" applyFill="1" applyBorder="1"/>
    <xf numFmtId="0" fontId="2" fillId="10" borderId="0" xfId="0" applyNumberFormat="1" applyFont="1" applyFill="1" applyBorder="1"/>
    <xf numFmtId="0" fontId="2" fillId="10" borderId="0" xfId="0" applyNumberFormat="1" applyFont="1" applyFill="1" applyBorder="1" applyAlignment="1">
      <alignment wrapText="1"/>
    </xf>
    <xf numFmtId="200" fontId="1" fillId="11" borderId="0" xfId="0" applyNumberFormat="1" applyFont="1" applyFill="1" applyBorder="1"/>
    <xf numFmtId="0" fontId="1" fillId="11" borderId="0" xfId="0" applyNumberFormat="1" applyFont="1" applyFill="1" applyBorder="1"/>
    <xf numFmtId="0" fontId="0" fillId="0" borderId="0" xfId="0" applyNumberFormat="1" applyFont="1" applyFill="1" applyBorder="1" applyAlignment="1">
      <alignment wrapText="1"/>
    </xf>
    <xf numFmtId="0" fontId="0" fillId="10" borderId="0" xfId="0" applyNumberFormat="1" applyFont="1" applyFill="1" applyBorder="1" applyAlignment="1">
      <alignment wrapText="1"/>
    </xf>
    <xf numFmtId="0" fontId="4" fillId="10" borderId="0" xfId="0" applyNumberFormat="1" applyFont="1" applyFill="1" applyBorder="1" applyAlignment="1">
      <alignment wrapText="1"/>
    </xf>
    <xf numFmtId="200" fontId="0" fillId="0" borderId="0" xfId="0" applyNumberFormat="1" applyFont="1" applyFill="1" applyBorder="1" applyAlignment="1">
      <alignment wrapText="1"/>
    </xf>
    <xf numFmtId="0" fontId="1" fillId="12" borderId="0" xfId="0" applyNumberFormat="1" applyFont="1" applyFill="1" applyBorder="1"/>
    <xf numFmtId="0" fontId="2" fillId="12" borderId="0" xfId="0" applyNumberFormat="1" applyFont="1" applyFill="1" applyBorder="1"/>
    <xf numFmtId="0" fontId="2" fillId="12" borderId="0" xfId="0" applyNumberFormat="1" applyFont="1" applyFill="1" applyBorder="1" applyAlignment="1">
      <alignment wrapText="1"/>
    </xf>
    <xf numFmtId="202" fontId="1" fillId="0" borderId="0" xfId="0" applyNumberFormat="1" applyFont="1" applyFill="1" applyBorder="1"/>
    <xf numFmtId="202" fontId="1" fillId="13" borderId="0" xfId="0" applyNumberFormat="1" applyFont="1" applyFill="1" applyBorder="1"/>
    <xf numFmtId="202" fontId="1" fillId="3" borderId="0" xfId="0" applyNumberFormat="1" applyFont="1" applyFill="1" applyBorder="1"/>
    <xf numFmtId="0" fontId="2" fillId="14" borderId="0" xfId="0" applyNumberFormat="1" applyFont="1" applyFill="1" applyBorder="1" applyAlignment="1">
      <alignment wrapText="1"/>
    </xf>
    <xf numFmtId="203" fontId="1" fillId="0" borderId="0" xfId="0" applyNumberFormat="1" applyFont="1" applyFill="1" applyBorder="1"/>
    <xf numFmtId="203" fontId="1" fillId="3" borderId="0" xfId="0" applyNumberFormat="1" applyFont="1" applyFill="1" applyBorder="1"/>
    <xf numFmtId="0" fontId="2" fillId="14" borderId="0" xfId="0" applyNumberFormat="1" applyFont="1" applyFill="1" applyBorder="1" applyAlignment="1">
      <alignment horizontal="left" wrapText="1"/>
    </xf>
    <xf numFmtId="0" fontId="2" fillId="14" borderId="0" xfId="0" applyNumberFormat="1" applyFont="1" applyFill="1" applyBorder="1" applyAlignment="1">
      <alignment horizontal="left" vertical="top" wrapText="1"/>
    </xf>
    <xf numFmtId="0" fontId="1" fillId="0" borderId="0" xfId="0" applyNumberFormat="1" applyFont="1" applyFill="1" applyBorder="1" applyAlignment="1">
      <alignment vertical="top"/>
    </xf>
    <xf numFmtId="200" fontId="1" fillId="0" borderId="0" xfId="0" applyNumberFormat="1" applyFont="1" applyFill="1" applyBorder="1" applyAlignment="1">
      <alignment vertical="top"/>
    </xf>
    <xf numFmtId="201" fontId="1" fillId="0" borderId="0" xfId="0" applyNumberFormat="1" applyFont="1" applyFill="1" applyBorder="1" applyAlignment="1">
      <alignment vertical="top"/>
    </xf>
    <xf numFmtId="0" fontId="1" fillId="0" borderId="0" xfId="0" applyNumberFormat="1" applyFont="1" applyFill="1" applyBorder="1" applyAlignment="1">
      <alignment vertical="top" wrapText="1"/>
    </xf>
    <xf numFmtId="203" fontId="1" fillId="0" borderId="0" xfId="0" applyNumberFormat="1" applyFont="1" applyFill="1" applyBorder="1" applyAlignment="1">
      <alignment vertical="top"/>
    </xf>
    <xf numFmtId="203" fontId="1" fillId="3" borderId="0" xfId="0" applyNumberFormat="1" applyFont="1" applyFill="1" applyBorder="1" applyAlignment="1">
      <alignment vertical="top"/>
    </xf>
    <xf numFmtId="200" fontId="1" fillId="3" borderId="0" xfId="0" applyNumberFormat="1" applyFont="1" applyFill="1" applyBorder="1" applyAlignment="1">
      <alignment vertical="top"/>
    </xf>
    <xf numFmtId="0" fontId="1" fillId="3" borderId="0" xfId="0" applyNumberFormat="1" applyFont="1" applyFill="1" applyBorder="1" applyAlignment="1">
      <alignment vertical="top"/>
    </xf>
    <xf numFmtId="203" fontId="1" fillId="15" borderId="0" xfId="0" applyNumberFormat="1" applyFont="1" applyFill="1" applyBorder="1" applyAlignment="1">
      <alignment vertical="top"/>
    </xf>
  </cellXfs>
  <cellStyles count="1">
    <cellStyle name="Normal" xfId="0"/>
  </cellStyles>
</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f592dbd318364206" /><Relationship Type="http://schemas.openxmlformats.org/officeDocument/2006/relationships/theme" Target="theme/theme1.xml" Id="Rbe1facb374804f9f" /><Relationship Type="http://schemas.openxmlformats.org/officeDocument/2006/relationships/sharedStrings" Target="sharedStrings.xml" Id="R9550e7ba2bcf4af3" /><Relationship Type="http://schemas.openxmlformats.org/officeDocument/2006/relationships/worksheet" Target="worksheets/sheet1.xml" Id="R4ef8eaa2d0bf472c" /><Relationship Type="http://schemas.openxmlformats.org/officeDocument/2006/relationships/worksheet" Target="worksheets/sheet2.xml" Id="Reede247b111e4945" /><Relationship Type="http://schemas.openxmlformats.org/officeDocument/2006/relationships/worksheet" Target="worksheets/sheet3.xml" Id="R4f1ae9e9042f4b1d" /></Relationships>
</file>

<file path=xl/tables/table1.xml><?xml version="1.0" encoding="utf-8"?>
<table xmlns="http://schemas.openxmlformats.org/spreadsheetml/2006/main" id="1" name="VehiculesImport" displayName="VehiculesImport" ref="A1:AI7" headerRowCount="1" totalsRowCount="0" totalsRowShown="0">
  <tableColumns count="35">
    <tableColumn id="1" name="Immatriculation (t.registration_number)"/>
    <tableColumn id="2" name="VIN / numéro de série (t.vin)"/>
    <tableColumn id="3" name="Libellé* (t.label)"/>
    <tableColumn id="4" name="Type principal de matériel (t.fk_asset_type)"/>
    <tableColumn id="5" name="Catégorie européenne (t.eu_category)"/>
    <tableColumn id="6" name="Genre national (t.national_genre)"/>
    <tableColumn id="7" name="PTAC (kg) (t.gvw_kg)"/>
    <tableColumn id="8" name="PTRA (kg) (t.gcw_kg)"/>
    <tableColumn id="9" name="Nombre de places (t.seats)"/>
    <tableColumn id="10" name="Territoire réglementaire (t.regulatory_territory)"/>
    <tableColumn id="11" name="Marque (t.brand)"/>
    <tableColumn id="12" name="Modèle du véhicule (t.model)"/>
    <tableColumn id="13" name="Version (t.vehicle_version)"/>
    <tableColumn id="14" name="Code énergie P.3 (t.fk_energy)"/>
    <tableColumn id="15" name="Autonomie WLTP (t.wltp_range_km)"/>
    <tableColumn id="16" name="Date de construction (t.construction_date)"/>
    <tableColumn id="17" name="Date de première immatriculation (t.first_registration_date)"/>
    <tableColumn id="18" name="Date de mise en service (t.commissioning_date)"/>
    <tableColumn id="19" name="Mode de détention (t.ownership_type)"/>
    <tableColumn id="20" name="Propriétaire (t.fk_soc_owner)"/>
    <tableColumn id="21" name="Description (t.description)"/>
    <tableColumn id="22" name="Capacité — Essence (L) (t.capacity_GASOLINE_L)"/>
    <tableColumn id="23" name="Capacité — Gazole (L) (t.capacity_DIESEL_L)"/>
    <tableColumn id="24" name="Capacité — Biodiesel B100 (L) (t.capacity_B100_L)"/>
    <tableColumn id="25" name="Capacité — Éthanol / superéthanol (L) (t.capacity_ETHANOL_L)"/>
    <tableColumn id="26" name="Capacité — GPL (L) (t.capacity_LPG_L)"/>
    <tableColumn id="27" name="Capacité — Gaz naturel (m³) (t.capacity_NATURAL_GAS_M3)"/>
    <tableColumn id="28" name="Capacité — Électricité (kWh) (t.capacity_ELECTRICITY_KWH)"/>
    <tableColumn id="29" name="Capacité — Hydrogène (kg) (t.capacity_HYDROGEN_KG)"/>
    <tableColumn id="30" name="Capacité — Air comprimé (m³) (t.capacity_COMPRESSED_AIR_M3)"/>
    <tableColumn id="31" name="Capacité — AdBlue (L) (t.capacity_ADBLUE_L)"/>
    <tableColumn id="32" name="Capacité — Huile (L) (t.capacity_OIL_L)"/>
    <tableColumn id="33" name="Capacité — Liquide lave-glace (L) (t.capacity_WASHER_FLUID_L)"/>
    <tableColumn id="34" name="Capacité — Liquide de refroidissement (L) (t.capacity_COOLANT_L)"/>
    <tableColumn id="35" name="Capacité — Autre additif (L) (t.capacity_OTHER_ADDITIVE_L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?><Relationships xmlns="http://schemas.openxmlformats.org/package/2006/relationships"><Relationship Type="http://schemas.openxmlformats.org/officeDocument/2006/relationships/table" Target="../tables/table1.xml" Id="Rd47531a1a3014fee" /></Relationships>
</file>

<file path=xl/worksheets/sheet1.xml><?xml version="1.0" encoding="utf-8"?>
<worksheet xmlns="http://schemas.openxmlformats.org/spreadsheetml/2006/main">
  <sheetViews>
    <sheetView showGridLines="0" workbookViewId="0">
      <pane ySplit="1" topLeftCell="A2" activePane="bottomLeft" state="frozen"/>
    </sheetView>
  </sheetViews>
  <sheetFormatPr defaultRowHeight="15"/>
  <cols>
    <col min="1" max="1" width="24" hidden="0" customWidth="1"/>
    <col min="2" max="2" width="34" hidden="0" customWidth="1"/>
    <col min="3" max="3" width="34" hidden="0" customWidth="1"/>
    <col min="4" max="4" width="24" hidden="0" customWidth="1"/>
    <col min="5" max="5" width="24" hidden="0" customWidth="1"/>
    <col min="6" max="6" width="24" hidden="0" customWidth="1"/>
    <col min="7" max="7" width="24" hidden="0" customWidth="1"/>
    <col min="8" max="8" width="24" hidden="0" customWidth="1"/>
    <col min="9" max="9" width="24" hidden="0" customWidth="1"/>
    <col min="10" max="10" width="24" hidden="0" customWidth="1"/>
    <col min="11" max="11" width="24" hidden="0" customWidth="1"/>
    <col min="12" max="12" width="24" hidden="0" customWidth="1"/>
    <col min="13" max="13" width="30" hidden="0" customWidth="1"/>
    <col min="14" max="14" width="24" hidden="0" customWidth="1"/>
    <col min="15" max="15" width="24" hidden="0" customWidth="1"/>
    <col min="16" max="16" width="24" hidden="0" customWidth="1"/>
    <col min="17" max="17" width="24" hidden="0" customWidth="1"/>
    <col min="18" max="18" width="24" hidden="0" customWidth="1"/>
    <col min="19" max="19" width="24" hidden="0" customWidth="1"/>
    <col min="20" max="20" width="24" hidden="0" customWidth="1"/>
    <col min="21" max="21" width="85" hidden="0" customWidth="1"/>
    <col min="22" max="22" width="29" hidden="0" customWidth="1"/>
    <col min="23" max="23" width="29" hidden="0" customWidth="1"/>
    <col min="24" max="24" width="29" hidden="0" customWidth="1"/>
    <col min="25" max="25" width="29" hidden="0" customWidth="1"/>
    <col min="26" max="26" width="29" hidden="0" customWidth="1"/>
    <col min="27" max="27" width="29" hidden="0" customWidth="1"/>
    <col min="28" max="28" width="29" hidden="0" customWidth="1"/>
    <col min="29" max="29" width="29" hidden="0" customWidth="1"/>
    <col min="30" max="30" width="29" hidden="0" customWidth="1"/>
    <col min="31" max="31" width="29" hidden="0" customWidth="1"/>
    <col min="32" max="32" width="29" hidden="0" customWidth="1"/>
    <col min="33" max="33" width="29" hidden="0" customWidth="1"/>
    <col min="34" max="34" width="29" hidden="0" customWidth="1"/>
    <col min="35" max="35" width="29" hidden="0" customWidth="1"/>
  </cols>
  <sheetData>
    <row r="1" ht="65" customHeight="1">
      <c r="A1" s="28" t="str">
        <v>Immatriculation (t.registration_number)</v>
      </c>
      <c r="B1" s="28" t="str">
        <v>VIN / numéro de série (t.vin)</v>
      </c>
      <c r="C1" s="28" t="str">
        <v>Libellé* (t.label)</v>
      </c>
      <c r="D1" s="28" t="str">
        <v>Type principal de matériel (t.fk_asset_type)</v>
      </c>
      <c r="E1" s="28" t="str">
        <v>Catégorie européenne (t.eu_category)</v>
      </c>
      <c r="F1" s="28" t="str">
        <v>Genre national (t.national_genre)</v>
      </c>
      <c r="G1" s="28" t="str">
        <v>PTAC (kg) (t.gvw_kg)</v>
      </c>
      <c r="H1" s="28" t="str">
        <v>PTRA (kg) (t.gcw_kg)</v>
      </c>
      <c r="I1" s="28" t="str">
        <v>Nombre de places (t.seats)</v>
      </c>
      <c r="J1" s="28" t="str">
        <v>Territoire réglementaire (t.regulatory_territory)</v>
      </c>
      <c r="K1" s="28" t="str">
        <v>Marque (t.brand)</v>
      </c>
      <c r="L1" s="28" t="str">
        <v>Modèle du véhicule (t.model)</v>
      </c>
      <c r="M1" s="28" t="str">
        <v>Version (t.vehicle_version)</v>
      </c>
      <c r="N1" s="28" t="str">
        <v>Code énergie P.3 (t.fk_energy)</v>
      </c>
      <c r="O1" s="28" t="str">
        <v>Autonomie WLTP (t.wltp_range_km)</v>
      </c>
      <c r="P1" s="28" t="str">
        <v>Date de construction (t.construction_date)</v>
      </c>
      <c r="Q1" s="28" t="str">
        <v>Date de première immatriculation (t.first_registration_date)</v>
      </c>
      <c r="R1" s="28" t="str">
        <v>Date de mise en service (t.commissioning_date)</v>
      </c>
      <c r="S1" s="28" t="str">
        <v>Mode de détention (t.ownership_type)</v>
      </c>
      <c r="T1" s="28" t="str">
        <v>Propriétaire (t.fk_soc_owner)</v>
      </c>
      <c r="U1" s="28" t="str">
        <v>Description (t.description)</v>
      </c>
      <c r="V1" s="45" t="str">
        <v>Capacité — Essence (L) (t.capacity_GASOLINE_L)</v>
      </c>
      <c r="W1" s="45" t="str">
        <v>Capacité — Gazole (L) (t.capacity_DIESEL_L)</v>
      </c>
      <c r="X1" s="45" t="str">
        <v>Capacité — Biodiesel B100 (L) (t.capacity_B100_L)</v>
      </c>
      <c r="Y1" s="45" t="str">
        <v>Capacité — Éthanol / superéthanol (L) (t.capacity_ETHANOL_L)</v>
      </c>
      <c r="Z1" s="45" t="str">
        <v>Capacité — GPL (L) (t.capacity_LPG_L)</v>
      </c>
      <c r="AA1" s="45" t="str">
        <v>Capacité — Gaz naturel (m³) (t.capacity_NATURAL_GAS_M3)</v>
      </c>
      <c r="AB1" s="45" t="str">
        <v>Capacité — Électricité (kWh) (t.capacity_ELECTRICITY_KWH)</v>
      </c>
      <c r="AC1" s="45" t="str">
        <v>Capacité — Hydrogène (kg) (t.capacity_HYDROGEN_KG)</v>
      </c>
      <c r="AD1" s="45" t="str">
        <v>Capacité — Air comprimé (m³) (t.capacity_COMPRESSED_AIR_M3)</v>
      </c>
      <c r="AE1" s="45" t="str">
        <v>Capacité — AdBlue (L) (t.capacity_ADBLUE_L)</v>
      </c>
      <c r="AF1" s="45" t="str">
        <v>Capacité — Huile (L) (t.capacity_OIL_L)</v>
      </c>
      <c r="AG1" s="45" t="str">
        <v>Capacité — Liquide lave-glace (L) (t.capacity_WASHER_FLUID_L)</v>
      </c>
      <c r="AH1" s="45" t="str">
        <v>Capacité — Liquide de refroidissement (L) (t.capacity_COOLANT_L)</v>
      </c>
      <c r="AI1" s="45" t="str">
        <v>Capacité — Autre additif (L) (t.capacity_OTHER_ADDITIVE_L)</v>
      </c>
    </row>
    <row r="2" ht="220" customHeight="1">
      <c r="A2" s="46" t="str">
        <v>EN-026-EX</v>
      </c>
      <c r="B2" s="46" t="str">
        <v>VF15R0J0A57328221</v>
      </c>
      <c r="C2" s="46" t="str">
        <v>Renault Clio EN-026-EX</v>
      </c>
      <c r="D2" s="46" t="str">
        <v>light_commercial</v>
      </c>
      <c r="E2" s="46" t="str">
        <v>M1</v>
      </c>
      <c r="F2" s="46" t="str">
        <v>VASP</v>
      </c>
      <c r="G2" s="47" t="n">
        <v>1695</v>
      </c>
      <c r="H2" s="47" t="n">
        <v>2595</v>
      </c>
      <c r="I2" s="47" t="n">
        <v>2</v>
      </c>
      <c r="J2" s="46"/>
      <c r="K2" s="46" t="str">
        <v>RENAULT</v>
      </c>
      <c r="L2" s="46" t="str">
        <v>CLIO</v>
      </c>
      <c r="M2" s="46" t="str">
        <v>5R0J0A</v>
      </c>
      <c r="N2" s="46" t="str">
        <v>GO</v>
      </c>
      <c r="O2" s="46"/>
      <c r="P2" s="48"/>
      <c r="Q2" s="48" t="n">
        <v>42898</v>
      </c>
      <c r="R2" s="48"/>
      <c r="S2" s="46"/>
      <c r="T2" s="46"/>
      <c r="U2" s="49" t="str">
        <v>Estimation provisoire non homologuée WLTP : réservoir 45 L, consommation mixte 3.3 L/100 km, autonomie théorique 1364 km sur plein complet sans marge de réserve. Clio Energy dCi 75/90, brochure 2017. Source : https://www.renault-voiron.com/wp-content/uploads/2018/02/clioIV.pdf Capacité électrique de traction : non applicable selon motorisation retenue. AdBlue, huile, lave-glace, refroidissement et autres additifs : capacités non renseignées faute de données confirmées.</v>
      </c>
      <c r="V2" s="50"/>
      <c r="W2" s="54" t="n">
        <v>45</v>
      </c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</row>
    <row r="3" ht="220" customHeight="1">
      <c r="A3" s="46" t="str">
        <v>ET-068-DD</v>
      </c>
      <c r="B3" s="46" t="str">
        <v>WF0XXXTTGXHA44698</v>
      </c>
      <c r="C3" s="46" t="str">
        <v>Ford Transit ET-068-DD</v>
      </c>
      <c r="D3" s="46" t="str">
        <v>light_commercial</v>
      </c>
      <c r="E3" s="46"/>
      <c r="F3" s="46" t="str">
        <v>CTTE</v>
      </c>
      <c r="G3" s="47"/>
      <c r="H3" s="47"/>
      <c r="I3" s="52" t="n">
        <v>3</v>
      </c>
      <c r="J3" s="46"/>
      <c r="K3" s="46" t="str">
        <v>FORD</v>
      </c>
      <c r="L3" s="53" t="str">
        <v>Transit 2.0 TDCi 130</v>
      </c>
      <c r="M3" s="46" t="str">
        <v>N10FRDCT1782765</v>
      </c>
      <c r="N3" s="53" t="str">
        <v>GO</v>
      </c>
      <c r="O3" s="46"/>
      <c r="P3" s="48"/>
      <c r="Q3" s="48" t="n">
        <v>43098</v>
      </c>
      <c r="R3" s="48"/>
      <c r="S3" s="46"/>
      <c r="T3" s="46"/>
      <c r="U3" s="49" t="str">
        <v>Estimation provisoire non homologuée WLTP : réservoir 80 L, consommation mixte 6.7 L/100 km, autonomie théorique 1194 km sur plein complet sans marge de réserve. Transit 2.0 TDCi 130 et réservoir 80 L supposés, à confirmer. Source : https://www.ford.fr/content/dam/guxeu/fr/documents/brochures/cvs/transit-two-tonnes/BRO-ford_transit_two_tonnes.pdf Capacité électrique de traction : non applicable selon motorisation retenue. AdBlue, huile, lave-glace, refroidissement et autres additifs : capacités non renseignées faute de données confirmées.</v>
      </c>
      <c r="V3" s="50"/>
      <c r="W3" s="54" t="n">
        <v>80</v>
      </c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</row>
    <row r="4" ht="220" customHeight="1">
      <c r="A4" s="46" t="str">
        <v>FY-765-CT</v>
      </c>
      <c r="B4" s="46" t="str">
        <v>VF3YBANFA12S34266</v>
      </c>
      <c r="C4" s="46" t="str">
        <v>Peugeot Boxer FY-765-CT</v>
      </c>
      <c r="D4" s="46" t="str">
        <v>light_commercial</v>
      </c>
      <c r="E4" s="46" t="str">
        <v>N1</v>
      </c>
      <c r="F4" s="46" t="str">
        <v>CTTE</v>
      </c>
      <c r="G4" s="47" t="n">
        <v>3300</v>
      </c>
      <c r="H4" s="47" t="n">
        <v>5800</v>
      </c>
      <c r="I4" s="47" t="n">
        <v>3</v>
      </c>
      <c r="J4" s="46"/>
      <c r="K4" s="46" t="str">
        <v>PEUGEOT</v>
      </c>
      <c r="L4" s="46" t="str">
        <v>BOXER</v>
      </c>
      <c r="M4" s="46" t="str">
        <v>YBANFA/KS</v>
      </c>
      <c r="N4" s="46" t="str">
        <v>GO</v>
      </c>
      <c r="O4" s="46"/>
      <c r="P4" s="48"/>
      <c r="Q4" s="48" t="n">
        <v>44280</v>
      </c>
      <c r="R4" s="48"/>
      <c r="S4" s="46"/>
      <c r="T4" s="46"/>
      <c r="U4" s="49" t="str">
        <v>Estimation provisoire non homologuée WLTP : réservoir 90 L, consommation mixte 7.5 L/100 km, autonomie théorique 1200 km sur plein complet sans marge de réserve. Boxer 2.2 BlueHDi 140 L2H2, référence provisoire 2023. Source : https://www.peugeot.ma/content/dam/peugeot/morocco/brochure/FT_Peugeot_VF_2023_boxer.pdf Capacité électrique de traction : non applicable selon motorisation retenue. AdBlue, huile, lave-glace, refroidissement et autres additifs : capacités non renseignées faute de données confirmées.</v>
      </c>
      <c r="V4" s="50"/>
      <c r="W4" s="54" t="n">
        <v>90</v>
      </c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</row>
    <row r="5" ht="220" customHeight="1">
      <c r="A5" s="46" t="str">
        <v>FZ-333-VR</v>
      </c>
      <c r="B5" s="46" t="str">
        <v>VR7BBYHZBME012351</v>
      </c>
      <c r="C5" s="46" t="str">
        <v>Citroën C4 FZ-333-VR</v>
      </c>
      <c r="D5" s="46" t="str">
        <v>light_commercial</v>
      </c>
      <c r="E5" s="46" t="str">
        <v>M1</v>
      </c>
      <c r="F5" s="46" t="str">
        <v>VASP</v>
      </c>
      <c r="G5" s="47" t="n">
        <v>1795</v>
      </c>
      <c r="H5" s="47" t="n">
        <v>2995</v>
      </c>
      <c r="I5" s="47" t="n">
        <v>2</v>
      </c>
      <c r="J5" s="46"/>
      <c r="K5" s="46" t="str">
        <v>CITROËN</v>
      </c>
      <c r="L5" s="46" t="str">
        <v>C4</v>
      </c>
      <c r="M5" s="46" t="str">
        <v>BBYHZB-A2BF00</v>
      </c>
      <c r="N5" s="46" t="str">
        <v>GO</v>
      </c>
      <c r="O5" s="46"/>
      <c r="P5" s="48"/>
      <c r="Q5" s="48" t="n">
        <v>44355</v>
      </c>
      <c r="R5" s="48"/>
      <c r="S5" s="46"/>
      <c r="T5" s="46"/>
      <c r="U5" s="49" t="str">
        <v>Estimation provisoire non homologuée WLTP : réservoir 50 L, consommation mixte 4.65 L/100 km, autonomie théorique 1075 km sur plein complet sans marge de réserve. C4 BlueHDi 130 automatique supposée ; moyenne de 4,6–4,7 L/100 km. Source : https://www.fiches-auto.fr/catalogues-pdf-officiels/683-C4-24_01_2022-CT_Nouvelle_C4.359467.pdf Capacité électrique de traction : non applicable selon motorisation retenue. AdBlue, huile, lave-glace, refroidissement et autres additifs : capacités non renseignées faute de données confirmées.</v>
      </c>
      <c r="V5" s="50"/>
      <c r="W5" s="54" t="n">
        <v>50</v>
      </c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</row>
    <row r="6" ht="220" customHeight="1">
      <c r="A6" s="46" t="str">
        <v>GC-709-LB</v>
      </c>
      <c r="B6" s="46" t="str">
        <v>VF1MA000566956321</v>
      </c>
      <c r="C6" s="46" t="str">
        <v>Renault Master GC-709-LB</v>
      </c>
      <c r="D6" s="46" t="str">
        <v>light_commercial</v>
      </c>
      <c r="E6" s="46" t="str">
        <v>N1</v>
      </c>
      <c r="F6" s="46" t="str">
        <v>CTTE</v>
      </c>
      <c r="G6" s="47" t="n">
        <v>3500</v>
      </c>
      <c r="H6" s="47" t="n">
        <v>6000</v>
      </c>
      <c r="I6" s="47" t="n">
        <v>3</v>
      </c>
      <c r="J6" s="46"/>
      <c r="K6" s="46" t="str">
        <v>RENAULT</v>
      </c>
      <c r="L6" s="46" t="str">
        <v>MASTER</v>
      </c>
      <c r="M6" s="46" t="str">
        <v>MAFM0DM86TC113D3T0</v>
      </c>
      <c r="N6" s="46" t="str">
        <v>GO</v>
      </c>
      <c r="O6" s="46"/>
      <c r="P6" s="48"/>
      <c r="Q6" s="48" t="n">
        <v>44487</v>
      </c>
      <c r="R6" s="48"/>
      <c r="S6" s="46"/>
      <c r="T6" s="46"/>
      <c r="U6" s="49" t="str">
        <v>Estimation provisoire non homologuée WLTP : réservoir 80 L, consommation mixte 9.1 L/100 km, autonomie théorique 879 km sur plein complet sans marge de réserve. Master dCi 135 L1H2, référence provisoire 2022. Source : https://xr793.com/wp-content/uploads/2022/12/2022-Renault-Master-UK.pdf Capacité électrique de traction : non applicable selon motorisation retenue. AdBlue, huile, lave-glace, refroidissement et autres additifs : capacités non renseignées faute de données confirmées.</v>
      </c>
      <c r="V6" s="50"/>
      <c r="W6" s="54" t="n">
        <v>80</v>
      </c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</row>
    <row r="7" ht="220" customHeight="1">
      <c r="A7" s="46" t="str">
        <v>FM-750-EM</v>
      </c>
      <c r="B7" s="46" t="str">
        <v>ZFA25000002M44620</v>
      </c>
      <c r="C7" s="46" t="str">
        <v>Fiat Ducato FM-750-EM</v>
      </c>
      <c r="D7" s="46" t="str">
        <v>light_commercial</v>
      </c>
      <c r="E7" s="46" t="str">
        <v>N1</v>
      </c>
      <c r="F7" s="46" t="str">
        <v>CTTE</v>
      </c>
      <c r="G7" s="47" t="n">
        <v>3500</v>
      </c>
      <c r="H7" s="47" t="n">
        <v>6000</v>
      </c>
      <c r="I7" s="47" t="n">
        <v>3</v>
      </c>
      <c r="J7" s="46"/>
      <c r="K7" s="46" t="str">
        <v>FIAT</v>
      </c>
      <c r="L7" s="46" t="str">
        <v>DUCATO</v>
      </c>
      <c r="M7" s="46" t="str">
        <v>250CHNFBHW</v>
      </c>
      <c r="N7" s="46" t="str">
        <v>GN</v>
      </c>
      <c r="O7" s="46"/>
      <c r="P7" s="48"/>
      <c r="Q7" s="48" t="n">
        <v>43809</v>
      </c>
      <c r="R7" s="48"/>
      <c r="S7" s="46"/>
      <c r="T7" s="46"/>
      <c r="U7" s="49" t="str">
        <v>Estimation provisoire non homologuée WLTP : réservoir 36 kg, consommation mixte 8.8 kg/100 km, autonomie théorique 409 km sur plein complet sans marge de réserve. Ducato Natural Power, référence ancienne ; configuration 2019 à confirmer. Réserve essence exclue. Source : https://www.media.stellantis.com/uploads/cz/FR/SYSTEM_ARCHIVE/2009/FIAT_PROF/SCHEDE_TECNICHE/090323_FP_ST_DucatoCNG.pdf Capacité électrique de traction : non applicable selon motorisation retenue. AdBlue, huile, lave-glace, refroidissement et autres additifs : capacités non renseignées faute de données confirmées.</v>
      </c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</row>
  </sheetData>
  <pageMargins left="0.7" right="0.7" top="0.75" bottom="0.75" header="0.3" footer="0.3"/>
  <tableParts count="1">
    <tablePart xmlns:r="http://schemas.openxmlformats.org/officeDocument/2006/relationships" r:id="Rd47531a1a3014fee"/>
  </tableParts>
</worksheet>
</file>

<file path=xl/worksheets/sheet2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32" hidden="0" customWidth="1"/>
    <col min="2" max="2" width="110" hidden="0" customWidth="1"/>
  </cols>
  <sheetData>
    <row r="1" ht="30" customHeight="1">
      <c r="A1" s="8" t="str">
        <v>Import des six véhicules</v>
      </c>
      <c r="B1" s="8" t="str"/>
    </row>
    <row r="2" ht="30" customHeight="1">
      <c r="A2" s="7" t="str">
        <v>Source</v>
      </c>
      <c r="B2" s="7" t="str">
        <v>Copieur JP SUN_20260907_172703.pdf, pages 1 à 6.</v>
      </c>
    </row>
    <row r="3" ht="30" customHeight="1">
      <c r="A3" s="7" t="str">
        <v>Jeu de données</v>
      </c>
      <c r="B3" s="7" t="str">
        <v>Import natif Dolibarr : Véhicules (lmdbvehiclemanagement_vehicles).</v>
      </c>
    </row>
    <row r="4" ht="30" customHeight="1">
      <c r="A4" s="7" t="str">
        <v>Lignes à importer</v>
      </c>
      <c r="B4" s="7" t="str">
        <v>Feuille Import véhicules : lignes 2 à 7. En-tête en ligne 1.</v>
      </c>
    </row>
    <row r="5" ht="65" customHeight="1">
      <c r="A5" s="7" t="str">
        <v>Correspondance</v>
      </c>
      <c r="B5" s="7" t="str">
        <v>35 colonnes : les 21 champs du modèle et 14 capacités, dont l’électricité (kWh). Déployer le module mis à jour puis relancer l’assistant et associer les nouvelles colonnes.</v>
      </c>
    </row>
    <row r="6" ht="30" customHeight="1">
      <c r="A6" s="7" t="str">
        <v>Référence</v>
      </c>
      <c r="B6" s="7" t="str">
        <v>Non fournie : laisser le module appliquer son modèle de numérotation.</v>
      </c>
    </row>
    <row r="7" ht="65" customHeight="1">
      <c r="A7" s="7" t="str">
        <v>Environnement et statut</v>
      </c>
      <c r="B7" s="7" t="str">
        <v>Importer dans l’entité cible. Pour actualiser les véhicules existants, choisir Immatriculation comme clé de mise à jour. Leur statut sera conservé.</v>
      </c>
    </row>
    <row r="8" ht="30" customHeight="1">
      <c r="A8" s="7" t="str">
        <v>Format alternatif</v>
      </c>
      <c r="B8" s="7" t="str">
        <v>CSV UTF-8 séparé par des virgules, dates ISO. En-tête en ligne 1, données à partir de la ligne 2.</v>
      </c>
    </row>
    <row r="9" ht="30" customHeight="1">
      <c r="A9" s="7" t="str">
        <v>Données absentes</v>
      </c>
      <c r="B9" s="7" t="str">
        <v>Aucune date de construction ou de mise en service n’a été déduite des documents.</v>
      </c>
    </row>
    <row r="10" ht="30" customHeight="1">
      <c r="A10" s="7" t="str">
        <v>Types de véhicule</v>
      </c>
      <c r="B10" s="7" t="str">
        <v>Type principal : utilitaire léger (light_commercial) pour les six véhicules, dont la Clio et la C4 de société VASP à deux places.</v>
      </c>
    </row>
    <row r="11" ht="30" customHeight="1">
      <c r="A11" s="7" t="str">
        <v>Propriétaires</v>
      </c>
      <c r="B11" s="7" t="str">
        <v>Liaison tiers non renseignée : les références des tiers Dolibarr ne sont pas fournies.</v>
      </c>
    </row>
    <row r="12" ht="30" customHeight="1">
      <c r="A12" s="7" t="str">
        <v>EN-026-EX (page 1)</v>
      </c>
      <c r="B12" s="7" t="str">
        <v>Titulaire indiqué : AEDES DEVELOPPEMENT.</v>
      </c>
    </row>
    <row r="13" ht="30" customHeight="1">
      <c r="A13" s="7" t="str">
        <v>ET-068-DD (page 2)</v>
      </c>
      <c r="B13" s="7" t="str">
        <v>Acquéreur : AINI-CAR. Cession du 03/09/2026. Compteur : 33 970 km à cette date.</v>
      </c>
    </row>
    <row r="14" ht="42" customHeight="1">
      <c r="A14" s="7" t="str">
        <v>Ford : valeurs estimées</v>
      </c>
      <c r="B14" s="7" t="str">
        <v>Cellules jaunes : 2.0 TDCi 130 ch, GO (gazole), 3 places, repris d’un autre véhicule de même type. À confirmer sur la carte grise.</v>
      </c>
    </row>
    <row r="15" ht="30" customHeight="1">
      <c r="A15" s="7" t="str">
        <v>Ford : version</v>
      </c>
      <c r="B15" s="7" t="str">
        <v>N10FRDCT1782765 repris du champ D.2 du certificat de cession, à confirmer sur la carte grise.</v>
      </c>
    </row>
    <row r="16" ht="30" customHeight="1">
      <c r="A16" s="7" t="str">
        <v>FY-765-CT (page 3)</v>
      </c>
      <c r="B16" s="7" t="str">
        <v>Titulaire indiqué : JPSUN.</v>
      </c>
    </row>
    <row r="17" ht="30" customHeight="1">
      <c r="A17" s="7" t="str">
        <v>FZ-333-VR (page 4)</v>
      </c>
      <c r="B17" s="7" t="str">
        <v>Titulaire indiqué : FRANCE ENERGIES AGRICOLES.</v>
      </c>
    </row>
    <row r="18" ht="30" customHeight="1">
      <c r="A18" s="7" t="str">
        <v>GC-709-LB (page 5)</v>
      </c>
      <c r="B18" s="7" t="str">
        <v>Titulaire indiqué : AINI-CAR.</v>
      </c>
    </row>
    <row r="19" ht="65" customHeight="1">
      <c r="A19" s="7" t="str">
        <v>FM-750-EM (page 6)</v>
      </c>
      <c r="B19" s="7" t="str">
        <v>Titulaire : AINI-CAR. Énergie GN. Réservoir estimé à 36 kg dans Description ; capacité en m³ laissée vide, sans conversion fiable entre masse et volume.</v>
      </c>
    </row>
    <row r="20" ht="30" customHeight="1">
      <c r="A20" s="7" t="str">
        <v>Kilométrage et affectations</v>
      </c>
      <c r="B20" s="7" t="str">
        <v>Non importables par ce profil véhicules : saisir séparément les relevés et affectations.</v>
      </c>
    </row>
    <row r="21" ht="30" customHeight="1">
      <c r="A21" s="7" t="str">
        <v>Contrôles techniques</v>
      </c>
      <c r="B21" s="7" t="str">
        <v>Les dates X.1 ne sont pas des dates de première immatriculation. Aucun contrôle créé.</v>
      </c>
    </row>
    <row r="22" ht="65" customHeight="1">
      <c r="A22" s="7" t="str">
        <v>Vérification avant exécution</v>
      </c>
      <c r="B22" s="7" t="str">
        <v>Importer les lignes 2 à 7, avec Immatriculation comme clé de mise à jour si elles existent déjà. Lancer la simulation et vérifier les six lignes avant import final.</v>
      </c>
    </row>
    <row r="23" ht="65" customHeight="1">
      <c r="A23" s="7" t="str">
        <v>Capacités et autonomies</v>
      </c>
      <c r="B23" s="7" t="str">
        <v>Gazole renseigné d’après les hypothèses de la feuille Autonomies estimées (cellules jaunes). WLTP laissé vide. Aucune batterie de traction confirmée ; fluides inconnus laissés vides.</v>
      </c>
    </row>
    <row r="24" ht="65" customHeight="1">
      <c r="A24" s="7" t="str">
        <v>Règle de saisie</v>
      </c>
      <c r="B24" s="7" t="str">
        <v>Capacité vide : valeur existante conservée. 0 : effacement de cette capacité. Nombre seul, dans l’unité indiquée ; compatibilité avec l’énergie contrôlée. Import réel non testé sur l’instance.</v>
      </c>
    </row>
    <row r="25">
      <c r="A25" t="str">
        <v>Ford : source comparative</v>
      </c>
      <c r="B25" t="str">
        <v>Interenchères, lot 81969125 : Transit 2017, type N10FRDCT1782765, diesel 2.0 TDCi 130, 3 places.</v>
      </c>
    </row>
    <row r="26" ht="42" customHeight="1">
      <c r="A26" t="str">
        <v>Lien de la source</v>
      </c>
      <c r="B26" t="str">
        <v>https://www.interencheres.com/en-US/vehicules/vente-de-vehicules-only-encheres-2c-partenaires-644835/lot-81969125.html</v>
      </c>
    </row>
    <row r="27">
      <c r="A27" t="str">
        <v>Ford : limites</v>
      </c>
      <c r="B27" t="str">
        <v>Aucune correspondance exacte du VIN trouvée. PTAC, PTRA et catégorie européenne laissés vides.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24" hidden="0" customWidth="1"/>
    <col min="2" max="2" width="24" hidden="0" customWidth="1"/>
    <col min="3" max="3" width="24" hidden="0" customWidth="1"/>
    <col min="4" max="4" width="24" hidden="0" customWidth="1"/>
    <col min="5" max="5" width="24" hidden="0" customWidth="1"/>
    <col min="6" max="6" width="24" hidden="0" customWidth="1"/>
    <col min="7" max="7" width="65" hidden="0" customWidth="1"/>
    <col min="8" max="8" width="65" hidden="0" customWidth="1"/>
  </cols>
  <sheetData>
    <row r="1" ht="65" customHeight="1">
      <c r="A1" s="33" t="str">
        <v>Immatriculation</v>
      </c>
      <c r="B1" s="33" t="str">
        <v>Réservoir</v>
      </c>
      <c r="C1" s="33" t="str">
        <v>Unité</v>
      </c>
      <c r="D1" s="33" t="str">
        <v>Mixte /100 km</v>
      </c>
      <c r="E1" s="33" t="str">
        <v>Autonomie estimée (km)</v>
      </c>
      <c r="F1" s="33" t="str">
        <v>Batterie traction (kWh)</v>
      </c>
      <c r="G1" s="33" t="str">
        <v>Hypothèse / limite</v>
      </c>
      <c r="H1" s="33" t="str">
        <v>Source</v>
      </c>
    </row>
    <row r="2" ht="65" customHeight="1">
      <c r="A2" s="31" t="str">
        <v>EN-026-EX</v>
      </c>
      <c r="B2" s="31" t="n">
        <v>45</v>
      </c>
      <c r="C2" s="31" t="str">
        <v>L</v>
      </c>
      <c r="D2" s="31" t="n">
        <v>3.3</v>
      </c>
      <c r="E2" s="34" t="n">
        <f>B2/D2*100</f>
        <v>1363.6363636363637</v>
      </c>
      <c r="F2" s="31"/>
      <c r="G2" s="31" t="str">
        <v>Clio Energy dCi 75/90, brochure 2017.</v>
      </c>
      <c r="H2" s="31" t="str">
        <v>https://www.renault-voiron.com/wp-content/uploads/2018/02/clioIV.pdf</v>
      </c>
    </row>
    <row r="3" ht="65" customHeight="1">
      <c r="A3" s="31" t="str">
        <v>ET-068-DD</v>
      </c>
      <c r="B3" s="31" t="n">
        <v>80</v>
      </c>
      <c r="C3" s="31" t="str">
        <v>L</v>
      </c>
      <c r="D3" s="31" t="n">
        <v>6.7</v>
      </c>
      <c r="E3" s="34" t="n">
        <f>B3/D3*100</f>
        <v>1194.0298507462685</v>
      </c>
      <c r="F3" s="31"/>
      <c r="G3" s="31" t="str">
        <v>Transit 2.0 TDCi 130 et réservoir 80 L supposés, à confirmer.</v>
      </c>
      <c r="H3" s="31" t="str">
        <v>https://www.ford.fr/content/dam/guxeu/fr/documents/brochures/cvs/transit-two-tonnes/BRO-ford_transit_two_tonnes.pdf</v>
      </c>
    </row>
    <row r="4" ht="65" customHeight="1">
      <c r="A4" s="31" t="str">
        <v>FY-765-CT</v>
      </c>
      <c r="B4" s="31" t="n">
        <v>90</v>
      </c>
      <c r="C4" s="31" t="str">
        <v>L</v>
      </c>
      <c r="D4" s="31" t="n">
        <v>7.5</v>
      </c>
      <c r="E4" s="34" t="n">
        <f>B4/D4*100</f>
        <v>1200</v>
      </c>
      <c r="F4" s="31"/>
      <c r="G4" s="31" t="str">
        <v>Boxer 2.2 BlueHDi 140 L2H2, référence provisoire 2023.</v>
      </c>
      <c r="H4" s="31" t="str">
        <v>https://www.peugeot.ma/content/dam/peugeot/morocco/brochure/FT_Peugeot_VF_2023_boxer.pdf</v>
      </c>
    </row>
    <row r="5" ht="65" customHeight="1">
      <c r="A5" s="31" t="str">
        <v>FZ-333-VR</v>
      </c>
      <c r="B5" s="31" t="n">
        <v>50</v>
      </c>
      <c r="C5" s="31" t="str">
        <v>L</v>
      </c>
      <c r="D5" s="31" t="n">
        <v>4.65</v>
      </c>
      <c r="E5" s="34" t="n">
        <f>B5/D5*100</f>
        <v>1075.268817204301</v>
      </c>
      <c r="F5" s="31"/>
      <c r="G5" s="31" t="str">
        <v>C4 BlueHDi 130 automatique supposée ; moyenne de 4,6–4,7 L/100 km.</v>
      </c>
      <c r="H5" s="31" t="str">
        <v>https://www.fiches-auto.fr/catalogues-pdf-officiels/683-C4-24_01_2022-CT_Nouvelle_C4.359467.pdf</v>
      </c>
    </row>
    <row r="6" ht="65" customHeight="1">
      <c r="A6" s="31" t="str">
        <v>GC-709-LB</v>
      </c>
      <c r="B6" s="31" t="n">
        <v>80</v>
      </c>
      <c r="C6" s="31" t="str">
        <v>L</v>
      </c>
      <c r="D6" s="31" t="n">
        <v>9.1</v>
      </c>
      <c r="E6" s="34" t="n">
        <f>B6/D6*100</f>
        <v>879.1208791208792</v>
      </c>
      <c r="F6" s="31"/>
      <c r="G6" s="31" t="str">
        <v>Master dCi 135 L1H2, référence provisoire 2022.</v>
      </c>
      <c r="H6" s="31" t="str">
        <v>https://xr793.com/wp-content/uploads/2022/12/2022-Renault-Master-UK.pdf</v>
      </c>
    </row>
    <row r="7" ht="65" customHeight="1">
      <c r="A7" s="31" t="str">
        <v>FM-750-EM</v>
      </c>
      <c r="B7" s="31" t="n">
        <v>36</v>
      </c>
      <c r="C7" s="31" t="str">
        <v>kg</v>
      </c>
      <c r="D7" s="31" t="n">
        <v>8.8</v>
      </c>
      <c r="E7" s="34" t="n">
        <f>B7/D7*100</f>
        <v>409.09090909090907</v>
      </c>
      <c r="F7" s="31"/>
      <c r="G7" s="31" t="str">
        <v>Ducato Natural Power, référence ancienne ; configuration 2019 à confirmer. Réserve essence exclue.</v>
      </c>
      <c r="H7" s="31" t="str">
        <v>https://www.media.stellantis.com/uploads/cz/FR/SYSTEM_ARCHIVE/2009/FIAT_PROF/SCHEDE_TECNICHE/090323_FP_ST_DucatoCNG.pdf</v>
      </c>
    </row>
  </sheetData>
  <pageMargins left="0.7" right="0.7" top="0.75" bottom="0.75" header="0.3" footer="0.3"/>
</worksheet>
</file>